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ção Fo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/>
    </xf>
    <xf numFmtId="4" fontId="0" fillId="6" borderId="1" applyAlignment="1" pivotButton="0" quotePrefix="0" xfId="0">
      <alignment vertical="center"/>
    </xf>
    <xf numFmtId="4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4" fillId="7" borderId="0" applyAlignment="1" pivotButton="0" quotePrefix="0" xfId="0">
      <alignment horizontal="center"/>
    </xf>
    <xf numFmtId="4" fontId="4" fillId="7" borderId="0" pivotButton="0" quotePrefix="0" xfId="0"/>
    <xf numFmtId="164" fontId="3" fillId="9" borderId="0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</cols>
  <sheetData>
    <row r="1" ht="28" customHeight="1">
      <c r="A1" s="1" t="inlineStr">
        <is>
          <t>VALIDAÇÃO DE PREÇOS — FOTUS SOLAR | CEP: 38610-000 (Unaí-MG)</t>
        </is>
      </c>
    </row>
    <row r="2" ht="32" customHeight="1">
      <c r="A2" s="2" t="inlineStr">
        <is>
          <t>Preencha as colunas amarelas: acesse app.fotus.com.br, localize o kit pelo ID, adicione ao carrinho e informe preço + frete para CEP 38610-000</t>
        </is>
      </c>
    </row>
    <row r="3" ht="36" customHeight="1">
      <c r="A3" s="3" t="inlineStr">
        <is>
          <t>ID</t>
        </is>
      </c>
      <c r="B3" s="3" t="inlineStr">
        <is>
          <t>kWp</t>
        </is>
      </c>
      <c r="C3" s="3" t="inlineStr">
        <is>
          <t>Telhado</t>
        </is>
      </c>
      <c r="D3" s="3" t="inlineStr">
        <is>
          <t>Inversor</t>
        </is>
      </c>
      <c r="E3" s="3" t="inlineStr">
        <is>
          <t>Descrição</t>
        </is>
      </c>
      <c r="F3" s="3" t="inlineStr">
        <is>
          <t>Preço API
(R$)</t>
        </is>
      </c>
      <c r="G3" s="3" t="inlineStr">
        <is>
          <t>Preço Portal
(R$)</t>
        </is>
      </c>
      <c r="H3" s="3" t="inlineStr">
        <is>
          <t>Frete Portal
(R$)</t>
        </is>
      </c>
      <c r="I3" s="3" t="inlineStr">
        <is>
          <t>Total Portal
(R$)</t>
        </is>
      </c>
      <c r="J3" s="3" t="inlineStr">
        <is>
          <t>Δ Preço
(R$)</t>
        </is>
      </c>
      <c r="K3" s="3" t="inlineStr">
        <is>
          <t>% Frete</t>
        </is>
      </c>
    </row>
    <row r="4" ht="20" customHeight="1">
      <c r="A4" s="4" t="n">
        <v>129922</v>
      </c>
      <c r="B4" s="4" t="n">
        <v>8.119999999999999</v>
      </c>
      <c r="C4" s="4" t="inlineStr">
        <is>
          <t>Mini Trilho</t>
        </is>
      </c>
      <c r="D4" s="5" t="inlineStr">
        <is>
          <t>INVERSOR SOLPLANET ASW 7.5KW (S) MONOFÁSICO 2</t>
        </is>
      </c>
      <c r="E4" s="5" t="inlineStr">
        <is>
          <t>FTK05 - SOLAR N PLUS | 580W N-TYPE BIFACIAL | FRAM</t>
        </is>
      </c>
      <c r="F4" s="6" t="n">
        <v>11160.18</v>
      </c>
      <c r="G4" s="7" t="inlineStr"/>
      <c r="H4" s="7" t="inlineStr"/>
      <c r="I4" s="8">
        <f>G4+H4</f>
        <v/>
      </c>
      <c r="J4" s="8">
        <f>IF(G4=,,G4-F4)</f>
        <v/>
      </c>
      <c r="K4" s="9">
        <f>IF(I4=,,H4/I4)</f>
        <v/>
      </c>
    </row>
    <row r="5" ht="20" customHeight="1">
      <c r="A5" s="10" t="n">
        <v>129921</v>
      </c>
      <c r="B5" s="10" t="n">
        <v>8.119999999999999</v>
      </c>
      <c r="C5" s="10" t="inlineStr">
        <is>
          <t>Fibrocimento</t>
        </is>
      </c>
      <c r="D5" s="11" t="inlineStr">
        <is>
          <t>INVERSOR SOLPLANET ASW 7.5KW (S) MONOFÁSICO 2</t>
        </is>
      </c>
      <c r="E5" s="11" t="inlineStr">
        <is>
          <t>FTK05 - SOLAR N PLUS | 580W N-TYPE BIFACIAL | FRAM</t>
        </is>
      </c>
      <c r="F5" s="6" t="n">
        <v>11833.3</v>
      </c>
      <c r="G5" s="7" t="inlineStr"/>
      <c r="H5" s="7" t="inlineStr"/>
      <c r="I5" s="8">
        <f>G5+H5</f>
        <v/>
      </c>
      <c r="J5" s="8">
        <f>IF(G5=,,G5-F5)</f>
        <v/>
      </c>
      <c r="K5" s="9">
        <f>IF(I5=,,H5/I5)</f>
        <v/>
      </c>
    </row>
    <row r="6" ht="20" customHeight="1">
      <c r="A6" s="4" t="n">
        <v>129920</v>
      </c>
      <c r="B6" s="4" t="n">
        <v>8.119999999999999</v>
      </c>
      <c r="C6" s="4" t="inlineStr">
        <is>
          <t>Cerâmico</t>
        </is>
      </c>
      <c r="D6" s="5" t="inlineStr">
        <is>
          <t>INVERSOR SOLPLANET ASW 7.5KW (S) MONOFÁSICO 2</t>
        </is>
      </c>
      <c r="E6" s="5" t="inlineStr">
        <is>
          <t>FTK05 - SOLAR N PLUS | 580W N-TYPE BIFACIAL | FRAM</t>
        </is>
      </c>
      <c r="F6" s="6" t="n">
        <v>11893.3</v>
      </c>
      <c r="G6" s="7" t="inlineStr"/>
      <c r="H6" s="7" t="inlineStr"/>
      <c r="I6" s="8">
        <f>G6+H6</f>
        <v/>
      </c>
      <c r="J6" s="8">
        <f>IF(G6=,,G6-F6)</f>
        <v/>
      </c>
      <c r="K6" s="9">
        <f>IF(I6=,,H6/I6)</f>
        <v/>
      </c>
    </row>
    <row r="7" ht="20" customHeight="1">
      <c r="A7" s="10" t="n">
        <v>129808</v>
      </c>
      <c r="B7" s="10" t="n">
        <v>8.609999999999999</v>
      </c>
      <c r="C7" s="10" t="inlineStr">
        <is>
          <t>Mini Trilho</t>
        </is>
      </c>
      <c r="D7" s="11" t="inlineStr">
        <is>
          <t>INVERSOR SOLPLANET ASW 7.5KW (S) MONOFÁSICO 2</t>
        </is>
      </c>
      <c r="E7" s="11" t="inlineStr">
        <is>
          <t xml:space="preserve">FTK05 - LONGI | TIER 1 | 615W N-TYPE HPBC (22,80% </t>
        </is>
      </c>
      <c r="F7" s="6" t="n">
        <v>11303.68</v>
      </c>
      <c r="G7" s="7" t="inlineStr"/>
      <c r="H7" s="7" t="inlineStr"/>
      <c r="I7" s="8">
        <f>G7+H7</f>
        <v/>
      </c>
      <c r="J7" s="8">
        <f>IF(G7=,,G7-F7)</f>
        <v/>
      </c>
      <c r="K7" s="9">
        <f>IF(I7=,,H7/I7)</f>
        <v/>
      </c>
    </row>
    <row r="8" ht="20" customHeight="1">
      <c r="A8" s="4" t="n">
        <v>129809</v>
      </c>
      <c r="B8" s="4" t="n">
        <v>8.609999999999999</v>
      </c>
      <c r="C8" s="4" t="inlineStr">
        <is>
          <t>Cerâmico</t>
        </is>
      </c>
      <c r="D8" s="5" t="inlineStr">
        <is>
          <t>INVERSOR SOLPLANET ASW 7.5KW (S) MONOFÁSICO 2</t>
        </is>
      </c>
      <c r="E8" s="5" t="inlineStr">
        <is>
          <t xml:space="preserve">FTK05 - LONGI | TIER 1 | 615W N-TYPE HPBC (22,80% </t>
        </is>
      </c>
      <c r="F8" s="6" t="n">
        <v>12036.8</v>
      </c>
      <c r="G8" s="7" t="inlineStr"/>
      <c r="H8" s="7" t="inlineStr"/>
      <c r="I8" s="8">
        <f>G8+H8</f>
        <v/>
      </c>
      <c r="J8" s="8">
        <f>IF(G8=,,G8-F8)</f>
        <v/>
      </c>
      <c r="K8" s="9">
        <f>IF(I8=,,H8/I8)</f>
        <v/>
      </c>
    </row>
    <row r="9" ht="20" customHeight="1">
      <c r="A9" s="10" t="n">
        <v>129810</v>
      </c>
      <c r="B9" s="10" t="n">
        <v>8.609999999999999</v>
      </c>
      <c r="C9" s="10" t="inlineStr">
        <is>
          <t>Fibrocimento</t>
        </is>
      </c>
      <c r="D9" s="11" t="inlineStr">
        <is>
          <t>INVERSOR SOLPLANET ASW 7.5KW (S) MONOFÁSICO 2</t>
        </is>
      </c>
      <c r="E9" s="11" t="inlineStr">
        <is>
          <t xml:space="preserve">FTK05 - LONGI | TIER 1 | 615W N-TYPE HPBC (22,80% </t>
        </is>
      </c>
      <c r="F9" s="6" t="n">
        <v>12096.8</v>
      </c>
      <c r="G9" s="7" t="inlineStr"/>
      <c r="H9" s="7" t="inlineStr"/>
      <c r="I9" s="8">
        <f>G9+H9</f>
        <v/>
      </c>
      <c r="J9" s="8">
        <f>IF(G9=,,G9-F9)</f>
        <v/>
      </c>
      <c r="K9" s="9">
        <f>IF(I9=,,H9/I9)</f>
        <v/>
      </c>
    </row>
    <row r="10" ht="20" customHeight="1">
      <c r="A10" s="4" t="n">
        <v>129925</v>
      </c>
      <c r="B10" s="4" t="n">
        <v>10.44</v>
      </c>
      <c r="C10" s="4" t="inlineStr">
        <is>
          <t>Mini Trilho</t>
        </is>
      </c>
      <c r="D10" s="5" t="inlineStr">
        <is>
          <t>INVERSOR SOLPLANET ASW 7.5KW (S) MONOFÁSICO 2</t>
        </is>
      </c>
      <c r="E10" s="5" t="inlineStr">
        <is>
          <t>FTK05 - SOLAR N PLUS | 580W N-TYPE BIFACIAL | FRAM</t>
        </is>
      </c>
      <c r="F10" s="6" t="n">
        <v>13189.3</v>
      </c>
      <c r="G10" s="7" t="inlineStr"/>
      <c r="H10" s="7" t="inlineStr"/>
      <c r="I10" s="8">
        <f>G10+H10</f>
        <v/>
      </c>
      <c r="J10" s="8">
        <f>IF(G10=,,G10-F10)</f>
        <v/>
      </c>
      <c r="K10" s="9">
        <f>IF(I10=,,H10/I10)</f>
        <v/>
      </c>
    </row>
    <row r="11" ht="20" customHeight="1">
      <c r="A11" s="10" t="n">
        <v>129924</v>
      </c>
      <c r="B11" s="10" t="n">
        <v>10.44</v>
      </c>
      <c r="C11" s="10" t="inlineStr">
        <is>
          <t>Fibrocimento</t>
        </is>
      </c>
      <c r="D11" s="11" t="inlineStr">
        <is>
          <t>INVERSOR SOLPLANET ASW 7.5KW (S) MONOFÁSICO 2</t>
        </is>
      </c>
      <c r="E11" s="11" t="inlineStr">
        <is>
          <t>FTK05 - SOLAR N PLUS | 580W N-TYPE BIFACIAL | FRAM</t>
        </is>
      </c>
      <c r="F11" s="6" t="n">
        <v>14055.7</v>
      </c>
      <c r="G11" s="7" t="inlineStr"/>
      <c r="H11" s="7" t="inlineStr"/>
      <c r="I11" s="8">
        <f>G11+H11</f>
        <v/>
      </c>
      <c r="J11" s="8">
        <f>IF(G11=,,G11-F11)</f>
        <v/>
      </c>
      <c r="K11" s="9">
        <f>IF(I11=,,H11/I11)</f>
        <v/>
      </c>
    </row>
    <row r="12" ht="20" customHeight="1">
      <c r="A12" s="4" t="n">
        <v>129923</v>
      </c>
      <c r="B12" s="4" t="n">
        <v>10.44</v>
      </c>
      <c r="C12" s="4" t="inlineStr">
        <is>
          <t>Cerâmico</t>
        </is>
      </c>
      <c r="D12" s="5" t="inlineStr">
        <is>
          <t>INVERSOR SOLPLANET ASW 7.5KW (S) MONOFÁSICO 2</t>
        </is>
      </c>
      <c r="E12" s="5" t="inlineStr">
        <is>
          <t>FTK05 - SOLAR N PLUS | 580W N-TYPE BIFACIAL | FRAM</t>
        </is>
      </c>
      <c r="F12" s="6" t="n">
        <v>14130.7</v>
      </c>
      <c r="G12" s="7" t="inlineStr"/>
      <c r="H12" s="7" t="inlineStr"/>
      <c r="I12" s="8">
        <f>G12+H12</f>
        <v/>
      </c>
      <c r="J12" s="8">
        <f>IF(G12=,,G12-F12)</f>
        <v/>
      </c>
      <c r="K12" s="9">
        <f>IF(I12=,,H12/I12)</f>
        <v/>
      </c>
    </row>
    <row r="13" ht="20" customHeight="1">
      <c r="A13" s="10" t="n">
        <v>129991</v>
      </c>
      <c r="B13" s="10" t="n">
        <v>10.53</v>
      </c>
      <c r="C13" s="10" t="inlineStr">
        <is>
          <t>Mini Trilho</t>
        </is>
      </c>
      <c r="D13" s="11" t="inlineStr">
        <is>
          <t>INVERSOR SOLPLANET ASW 7.3KW (S) MONOFÁSICO 2</t>
        </is>
      </c>
      <c r="E13" s="11" t="inlineStr">
        <is>
          <t xml:space="preserve">FTK05 - PULLING ENERGY | 585W N-TYPE | CABO CURTO </t>
        </is>
      </c>
      <c r="F13" s="6" t="n">
        <v>12107.2</v>
      </c>
      <c r="G13" s="7" t="inlineStr"/>
      <c r="H13" s="7" t="inlineStr"/>
      <c r="I13" s="8">
        <f>G13+H13</f>
        <v/>
      </c>
      <c r="J13" s="8">
        <f>IF(G13=,,G13-F13)</f>
        <v/>
      </c>
      <c r="K13" s="9">
        <f>IF(I13=,,H13/I13)</f>
        <v/>
      </c>
    </row>
    <row r="15">
      <c r="A15" s="12" t="inlineStr">
        <is>
          <t>MÉDIA</t>
        </is>
      </c>
      <c r="J15" s="13">
        <f>AVERAGE(J4:J13)</f>
        <v/>
      </c>
      <c r="K15" s="14">
        <f>AVERAGEIF(K4:K13,"&lt;&gt;")</f>
        <v/>
      </c>
    </row>
    <row r="17">
      <c r="A17" s="15" t="inlineStr">
        <is>
          <t>Legenda:</t>
        </is>
      </c>
    </row>
    <row r="18">
      <c r="A18" s="16" t="n"/>
      <c r="B18" t="inlineStr">
        <is>
          <t>Preencher manualmente no portal</t>
        </is>
      </c>
    </row>
    <row r="19">
      <c r="A19" s="17" t="n"/>
      <c r="B19" t="inlineStr">
        <is>
          <t>Calculado automaticamente</t>
        </is>
      </c>
    </row>
    <row r="20">
      <c r="A20" s="18" t="n"/>
      <c r="B20" t="inlineStr">
        <is>
          <t>Dado da API</t>
        </is>
      </c>
    </row>
    <row r="21">
      <c r="A21" s="19" t="n"/>
      <c r="B21" t="inlineStr">
        <is>
          <t>Resultado final — % frete médio</t>
        </is>
      </c>
    </row>
  </sheetData>
  <mergeCells count="3">
    <mergeCell ref="A2:K2"/>
    <mergeCell ref="A15:E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2026-03-27T14:05:40Z</dcterms:created>
  <dcterms:modified xmlns:dcterms="http://purl.org/dc/terms/" xmlns:xsi="http://www.w3.org/2001/XMLSchema-instance" xsi:type="dcterms:W3CDTF">2026-03-27T14:05:40Z</dcterms:modified>
</cp:coreProperties>
</file>